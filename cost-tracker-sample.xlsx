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7332549c8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tracker" sheetId="1" r:id="R0ea2da5559c3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;(&quot;$&quot;#,##0.00);&quot;$&quot;0.00"/>
    <x:numFmt numFmtId="201" formatCode="#,##0.00;(#,##0.00);0.00"/>
  </x:numFmts>
  <x:fonts count="8">
    <x:font>
      <x:sz val="11"/>
      <x:name val="Carlito"/>
    </x:font>
    <x:font>
      <x:sz val="10"/>
      <x:color rgb="FF182B49"/>
      <x:name val="Arial"/>
    </x:font>
    <x:font>
      <x:b/>
      <x:sz val="16"/>
      <x:color rgb="FF182B49"/>
      <x:name val="Arial"/>
    </x:font>
    <x:font>
      <x:i/>
      <x:sz val="10"/>
      <x:color rgb="FF58677A"/>
      <x:name val="Arial"/>
    </x:font>
    <x:font>
      <x:b/>
      <x:sz val="12"/>
      <x:color rgb="FF182B49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8E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CDC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201" fontId="6" fillId="3" borderId="1" xfId="0" applyNumberFormat="1" applyFont="1" applyFill="1" applyBorder="1" applyAlignment="1">
      <x:alignment horizontal="right" vertical="center"/>
    </x:xf>
    <x:xf numFmtId="201" fontId="7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color rgb="FFA61B1B"/>
      </x:font>
      <x:fill>
        <x:patternFill patternType="solid">
          <x:bgColor rgb="FFFDE8E8"/>
        </x:patternFill>
      </x:fill>
    </x:dxf>
    <x:dxf>
      <x:font>
        <x:color rgb="FF176343"/>
      </x:font>
      <x:fill>
        <x:patternFill patternType="solid">
          <x:bgColor rgb="FFE5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5844893be411b" /><Relationship Type="http://schemas.openxmlformats.org/officeDocument/2006/relationships/theme" Target="/xl/theme/theme1.xml" Id="R96e26bf25d364dbc" /><Relationship Type="http://schemas.openxmlformats.org/officeDocument/2006/relationships/sharedStrings" Target="/xl/sharedStrings.xml" Id="R6b7a1593d00b45ac" /><Relationship Type="http://schemas.openxmlformats.org/officeDocument/2006/relationships/worksheet" Target="/xl/worksheets/sheet1.xml" Id="R0ea2da5559c34d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2" max="2" width="7.25" hidden="0" customWidth="1"/>
    <x:col min="3" max="3" width="14.380000114440918" hidden="0" customWidth="1"/>
    <x:col min="4" max="4" width="33.75" hidden="0" customWidth="1"/>
    <x:col min="5" max="5" width="7.25" hidden="0" customWidth="1"/>
    <x:col min="6" max="6" width="10" hidden="0" customWidth="1"/>
    <x:col min="7" max="7" width="12.5" hidden="0" customWidth="1"/>
    <x:col min="8" max="8" width="15" hidden="0" customWidth="1"/>
    <x:col min="9" max="9" width="15" hidden="0" customWidth="1"/>
    <x:col min="10" max="10" width="15" hidden="0" customWidth="1"/>
  </x:cols>
  <x:sheetData>
    <x:row r="2" ht="30" customHeight="1">
      <x:c r="B2" s="3" t="str">
        <x:v>Construction cost tracker</x:v>
      </x:c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B3" s="4" t="str">
        <x:v>Demonstration with fictional quantities and prices. Amounts in USD.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B4" s="5"/>
      <x:c r="C4" s="5"/>
      <x:c r="D4" s="5"/>
      <x:c r="E4" s="5"/>
      <x:c r="F4" s="5"/>
      <x:c r="G4" s="5"/>
      <x:c r="H4" s="5"/>
      <x:c r="I4" s="5"/>
      <x:c r="J4" s="5"/>
    </x:row>
    <x:row r="5" ht="24" customHeight="1">
      <x:c r="B5" s="2" t="str">
        <x:v>Planned cost</x:v>
      </x:c>
      <x:c r="C5" s="2"/>
      <x:c r="D5" s="8" t="n">
        <x:f>IF(COUNTA(B11:B110)=0,"n.a.",IF(COUNT(H11:H110)=COUNTA(B11:B110),SUM(H11:H110),"Missing quantity or rate"))</x:f>
        <x:v>18737</x:v>
      </x:c>
      <x:c r="E5" s="2"/>
      <x:c r="F5" s="2"/>
      <x:c r="G5" s="2"/>
      <x:c r="H5" s="2"/>
      <x:c r="I5" s="2"/>
      <x:c r="J5" s="2"/>
    </x:row>
    <x:row r="6" ht="24" customHeight="1">
      <x:c r="B6" s="2" t="str">
        <x:v>Actual cost</x:v>
      </x:c>
      <x:c r="C6" s="2"/>
      <x:c r="D6" s="8" t="n">
        <x:f>IF(COUNTA(B11:B110)=0,"n.a.",IF(AND(COUNT(I11:I110)=COUNTA(B11:B110),COUNTIFS(I11:I110,"&lt;0")=0),SUM(I11:I110),"Missing or invalid actual cost"))</x:f>
        <x:v>18900</x:v>
      </x:c>
      <x:c r="E6" s="2"/>
      <x:c r="F6" s="2"/>
      <x:c r="G6" s="2"/>
      <x:c r="H6" s="2"/>
      <x:c r="I6" s="2"/>
      <x:c r="J6" s="2"/>
    </x:row>
    <x:row r="7" ht="24" customHeight="1">
      <x:c r="B7" s="2" t="str">
        <x:v>Over / (under) budget</x:v>
      </x:c>
      <x:c r="C7" s="2"/>
      <x:c r="D7" s="8" t="n">
        <x:f>IF(AND(ISNUMBER(D5),ISNUMBER(D6)),D6-D5,"n.a.")</x:f>
        <x:v>163</x:v>
      </x:c>
      <x:c r="E7" s="2"/>
      <x:c r="F7" s="2"/>
      <x:c r="G7" s="2"/>
      <x:c r="H7" s="2"/>
      <x:c r="I7" s="2"/>
      <x:c r="J7" s="2"/>
    </x:row>
    <x:row r="8" ht="22" customHeight="1">
      <x:c r="B8" s="4" t="str">
        <x:v>Edit amber inputs. Formulas cover 100 items. Enter zero for a known zero actual cost.</x:v>
      </x:c>
      <x:c r="C8" s="2"/>
      <x:c r="D8" s="2"/>
      <x:c r="E8" s="2"/>
      <x:c r="F8" s="2"/>
      <x:c r="G8" s="2"/>
      <x:c r="H8" s="2"/>
      <x:c r="I8" s="2"/>
      <x:c r="J8" s="2"/>
    </x:row>
    <x:row r="9" ht="22" customHeight="1">
      <x:c r="B9" s="4" t="str">
        <x:v>Positive variance means over budget. Rates exclude taxes, markup and contingencies.</x:v>
      </x:c>
      <x:c r="C9" s="2"/>
      <x:c r="D9" s="2"/>
      <x:c r="E9" s="2"/>
      <x:c r="F9" s="2"/>
      <x:c r="G9" s="2"/>
      <x:c r="H9" s="2"/>
      <x:c r="I9" s="2"/>
      <x:c r="J9" s="2"/>
    </x:row>
    <x:row r="10" ht="30" customHeight="1">
      <x:c r="B10" s="11" t="str">
        <x:v>ID</x:v>
      </x:c>
      <x:c r="C10" s="11" t="str">
        <x:v>Trade</x:v>
      </x:c>
      <x:c r="D10" s="11" t="str">
        <x:v>Item</x:v>
      </x:c>
      <x:c r="E10" s="11" t="str">
        <x:v>Unit</x:v>
      </x:c>
      <x:c r="F10" s="11" t="str">
        <x:v>Quantity</x:v>
      </x:c>
      <x:c r="G10" s="11" t="str">
        <x:v>Rate (USD)</x:v>
      </x:c>
      <x:c r="H10" s="11" t="str">
        <x:v>Planned (USD)</x:v>
      </x:c>
      <x:c r="I10" s="11" t="str">
        <x:v>Actual (USD)</x:v>
      </x:c>
      <x:c r="J10" s="11" t="str">
        <x:v>Variance (USD)</x:v>
      </x:c>
    </x:row>
    <x:row r="11" ht="22" customHeight="1">
      <x:c r="B11" s="12" t="str">
        <x:v>A01</x:v>
      </x:c>
      <x:c r="C11" s="12" t="str">
        <x:v>Site works</x:v>
      </x:c>
      <x:c r="D11" s="12" t="str">
        <x:v>Site clearing</x:v>
      </x:c>
      <x:c r="E11" s="12" t="str">
        <x:v>m²</x:v>
      </x:c>
      <x:c r="F11" s="17" t="n">
        <x:v>180</x:v>
      </x:c>
      <x:c r="G11" s="17" t="n">
        <x:v>2.5</x:v>
      </x:c>
      <x:c r="H11" s="18" t="n">
        <x:f>IF(B11="","",IF(AND(ISNUMBER(F11),F11&gt;=0,ISNUMBER(G11),G11&gt;=0),ROUND(F11*G11,2),""))</x:f>
        <x:v>450</x:v>
      </x:c>
      <x:c r="I11" s="17" t="n">
        <x:v>475</x:v>
      </x:c>
      <x:c r="J11" s="18" t="n">
        <x:f>IF(B11="","",IF(AND(ISNUMBER(H11),ISNUMBER(I11),I11&gt;=0),I11-H11,"n.a."))</x:f>
        <x:v>25</x:v>
      </x:c>
    </x:row>
    <x:row r="12" ht="22" customHeight="1">
      <x:c r="B12" s="12" t="str">
        <x:v>A02</x:v>
      </x:c>
      <x:c r="C12" s="12" t="str">
        <x:v>Site works</x:v>
      </x:c>
      <x:c r="D12" s="12" t="str">
        <x:v>Excavation</x:v>
      </x:c>
      <x:c r="E12" s="12" t="str">
        <x:v>m³</x:v>
      </x:c>
      <x:c r="F12" s="17" t="n">
        <x:v>24</x:v>
      </x:c>
      <x:c r="G12" s="17" t="n">
        <x:v>18</x:v>
      </x:c>
      <x:c r="H12" s="18" t="n">
        <x:f>IF(B12="","",IF(AND(ISNUMBER(F12),F12&gt;=0,ISNUMBER(G12),G12&gt;=0),ROUND(F12*G12,2),""))</x:f>
        <x:v>432</x:v>
      </x:c>
      <x:c r="I12" s="17" t="n">
        <x:v>450</x:v>
      </x:c>
      <x:c r="J12" s="18" t="n">
        <x:f>IF(B12="","",IF(AND(ISNUMBER(H12),ISNUMBER(I12),I12&gt;=0),I12-H12,"n.a."))</x:f>
        <x:v>18</x:v>
      </x:c>
    </x:row>
    <x:row r="13" ht="22" customHeight="1">
      <x:c r="B13" s="12" t="str">
        <x:v>A03</x:v>
      </x:c>
      <x:c r="C13" s="12" t="str">
        <x:v>Site works</x:v>
      </x:c>
      <x:c r="D13" s="12" t="str">
        <x:v>Waste removal</x:v>
      </x:c>
      <x:c r="E13" s="12" t="str">
        <x:v>load</x:v>
      </x:c>
      <x:c r="F13" s="17" t="n">
        <x:v>3</x:v>
      </x:c>
      <x:c r="G13" s="17" t="n">
        <x:v>65</x:v>
      </x:c>
      <x:c r="H13" s="18" t="n">
        <x:f>IF(B13="","",IF(AND(ISNUMBER(F13),F13&gt;=0,ISNUMBER(G13),G13&gt;=0),ROUND(F13*G13,2),""))</x:f>
        <x:v>195</x:v>
      </x:c>
      <x:c r="I13" s="17" t="n">
        <x:v>185</x:v>
      </x:c>
      <x:c r="J13" s="18" t="n">
        <x:f>IF(B13="","",IF(AND(ISNUMBER(H13),ISNUMBER(I13),I13&gt;=0),I13-H13,"n.a."))</x:f>
        <x:v>-10</x:v>
      </x:c>
    </x:row>
    <x:row r="14" ht="22" customHeight="1">
      <x:c r="B14" s="19" t="str">
        <x:v>A04</x:v>
      </x:c>
      <x:c r="C14" s="19" t="str">
        <x:v>Site works</x:v>
      </x:c>
      <x:c r="D14" s="19" t="str">
        <x:v>Temporary fencing</x:v>
      </x:c>
      <x:c r="E14" s="19" t="str">
        <x:v>m</x:v>
      </x:c>
      <x:c r="F14" s="20" t="n">
        <x:v>35</x:v>
      </x:c>
      <x:c r="G14" s="20" t="n">
        <x:v>8</x:v>
      </x:c>
      <x:c r="H14" s="21" t="n">
        <x:f>IF(B14="","",IF(AND(ISNUMBER(F14),F14&gt;=0,ISNUMBER(G14),G14&gt;=0),ROUND(F14*G14,2),""))</x:f>
        <x:v>280</x:v>
      </x:c>
      <x:c r="I14" s="20" t="n">
        <x:v>280</x:v>
      </x:c>
      <x:c r="J14" s="21" t="n">
        <x:f>IF(B14="","",IF(AND(ISNUMBER(H14),ISNUMBER(I14),I14&gt;=0),I14-H14,"n.a."))</x:f>
        <x:v>0</x:v>
      </x:c>
    </x:row>
    <x:row r="15" ht="22" customHeight="1">
      <x:c r="B15" s="12" t="str">
        <x:v>B01</x:v>
      </x:c>
      <x:c r="C15" s="12" t="str">
        <x:v>Concrete</x:v>
      </x:c>
      <x:c r="D15" s="12" t="str">
        <x:v>Footing concrete</x:v>
      </x:c>
      <x:c r="E15" s="12" t="str">
        <x:v>m³</x:v>
      </x:c>
      <x:c r="F15" s="17" t="n">
        <x:v>12</x:v>
      </x:c>
      <x:c r="G15" s="17" t="n">
        <x:v>125</x:v>
      </x:c>
      <x:c r="H15" s="18" t="n">
        <x:f>IF(B15="","",IF(AND(ISNUMBER(F15),F15&gt;=0,ISNUMBER(G15),G15&gt;=0),ROUND(F15*G15,2),""))</x:f>
        <x:v>1500</x:v>
      </x:c>
      <x:c r="I15" s="17" t="n">
        <x:v>1560</x:v>
      </x:c>
      <x:c r="J15" s="18" t="n">
        <x:f>IF(B15="","",IF(AND(ISNUMBER(H15),ISNUMBER(I15),I15&gt;=0),I15-H15,"n.a."))</x:f>
        <x:v>60</x:v>
      </x:c>
    </x:row>
    <x:row r="16" ht="22" customHeight="1">
      <x:c r="B16" s="12" t="str">
        <x:v>B02</x:v>
      </x:c>
      <x:c r="C16" s="12" t="str">
        <x:v>Concrete</x:v>
      </x:c>
      <x:c r="D16" s="12" t="str">
        <x:v>Slab concrete</x:v>
      </x:c>
      <x:c r="E16" s="12" t="str">
        <x:v>m³</x:v>
      </x:c>
      <x:c r="F16" s="17" t="n">
        <x:v>15</x:v>
      </x:c>
      <x:c r="G16" s="17" t="n">
        <x:v>130</x:v>
      </x:c>
      <x:c r="H16" s="18" t="n">
        <x:f>IF(B16="","",IF(AND(ISNUMBER(F16),F16&gt;=0,ISNUMBER(G16),G16&gt;=0),ROUND(F16*G16,2),""))</x:f>
        <x:v>1950</x:v>
      </x:c>
      <x:c r="I16" s="17" t="n">
        <x:v>1910</x:v>
      </x:c>
      <x:c r="J16" s="18" t="n">
        <x:f>IF(B16="","",IF(AND(ISNUMBER(H16),ISNUMBER(I16),I16&gt;=0),I16-H16,"n.a."))</x:f>
        <x:v>-40</x:v>
      </x:c>
    </x:row>
    <x:row r="17" ht="22" customHeight="1">
      <x:c r="B17" s="12" t="str">
        <x:v>B03</x:v>
      </x:c>
      <x:c r="C17" s="12" t="str">
        <x:v>Concrete</x:v>
      </x:c>
      <x:c r="D17" s="12" t="str">
        <x:v>Reinforcement</x:v>
      </x:c>
      <x:c r="E17" s="12" t="str">
        <x:v>kg</x:v>
      </x:c>
      <x:c r="F17" s="17" t="n">
        <x:v>850</x:v>
      </x:c>
      <x:c r="G17" s="17" t="n">
        <x:v>1.4</x:v>
      </x:c>
      <x:c r="H17" s="18" t="n">
        <x:f>IF(B17="","",IF(AND(ISNUMBER(F17),F17&gt;=0,ISNUMBER(G17),G17&gt;=0),ROUND(F17*G17,2),""))</x:f>
        <x:v>1190</x:v>
      </x:c>
      <x:c r="I17" s="17" t="n">
        <x:v>1235</x:v>
      </x:c>
      <x:c r="J17" s="18" t="n">
        <x:f>IF(B17="","",IF(AND(ISNUMBER(H17),ISNUMBER(I17),I17&gt;=0),I17-H17,"n.a."))</x:f>
        <x:v>45</x:v>
      </x:c>
    </x:row>
    <x:row r="18" ht="22" customHeight="1">
      <x:c r="B18" s="19" t="str">
        <x:v>B04</x:v>
      </x:c>
      <x:c r="C18" s="19" t="str">
        <x:v>Concrete</x:v>
      </x:c>
      <x:c r="D18" s="19" t="str">
        <x:v>Formwork</x:v>
      </x:c>
      <x:c r="E18" s="19" t="str">
        <x:v>m²</x:v>
      </x:c>
      <x:c r="F18" s="20" t="n">
        <x:v>64</x:v>
      </x:c>
      <x:c r="G18" s="20" t="n">
        <x:v>16</x:v>
      </x:c>
      <x:c r="H18" s="21" t="n">
        <x:f>IF(B18="","",IF(AND(ISNUMBER(F18),F18&gt;=0,ISNUMBER(G18),G18&gt;=0),ROUND(F18*G18,2),""))</x:f>
        <x:v>1024</x:v>
      </x:c>
      <x:c r="I18" s="20" t="n">
        <x:v>1040</x:v>
      </x:c>
      <x:c r="J18" s="21" t="n">
        <x:f>IF(B18="","",IF(AND(ISNUMBER(H18),ISNUMBER(I18),I18&gt;=0),I18-H18,"n.a."))</x:f>
        <x:v>16</x:v>
      </x:c>
    </x:row>
    <x:row r="19" ht="22" customHeight="1">
      <x:c r="B19" s="12" t="str">
        <x:v>C01</x:v>
      </x:c>
      <x:c r="C19" s="12" t="str">
        <x:v>Masonry</x:v>
      </x:c>
      <x:c r="D19" s="12" t="str">
        <x:v>Blockwork</x:v>
      </x:c>
      <x:c r="E19" s="12" t="str">
        <x:v>m²</x:v>
      </x:c>
      <x:c r="F19" s="17" t="n">
        <x:v>140</x:v>
      </x:c>
      <x:c r="G19" s="17" t="n">
        <x:v>22</x:v>
      </x:c>
      <x:c r="H19" s="18" t="n">
        <x:f>IF(B19="","",IF(AND(ISNUMBER(F19),F19&gt;=0,ISNUMBER(G19),G19&gt;=0),ROUND(F19*G19,2),""))</x:f>
        <x:v>3080</x:v>
      </x:c>
      <x:c r="I19" s="17" t="n">
        <x:v>3080</x:v>
      </x:c>
      <x:c r="J19" s="18" t="n">
        <x:f>IF(B19="","",IF(AND(ISNUMBER(H19),ISNUMBER(I19),I19&gt;=0),I19-H19,"n.a."))</x:f>
        <x:v>0</x:v>
      </x:c>
    </x:row>
    <x:row r="20" ht="22" customHeight="1">
      <x:c r="B20" s="12" t="str">
        <x:v>C02</x:v>
      </x:c>
      <x:c r="C20" s="12" t="str">
        <x:v>Masonry</x:v>
      </x:c>
      <x:c r="D20" s="12" t="str">
        <x:v>Mortar</x:v>
      </x:c>
      <x:c r="E20" s="12" t="str">
        <x:v>m³</x:v>
      </x:c>
      <x:c r="F20" s="17" t="n">
        <x:v>3</x:v>
      </x:c>
      <x:c r="G20" s="17" t="n">
        <x:v>95</x:v>
      </x:c>
      <x:c r="H20" s="18" t="n">
        <x:f>IF(B20="","",IF(AND(ISNUMBER(F20),F20&gt;=0,ISNUMBER(G20),G20&gt;=0),ROUND(F20*G20,2),""))</x:f>
        <x:v>285</x:v>
      </x:c>
      <x:c r="I20" s="17" t="n">
        <x:v>300</x:v>
      </x:c>
      <x:c r="J20" s="18" t="n">
        <x:f>IF(B20="","",IF(AND(ISNUMBER(H20),ISNUMBER(I20),I20&gt;=0),I20-H20,"n.a."))</x:f>
        <x:v>15</x:v>
      </x:c>
    </x:row>
    <x:row r="21" ht="22" customHeight="1">
      <x:c r="B21" s="12" t="str">
        <x:v>C03</x:v>
      </x:c>
      <x:c r="C21" s="12" t="str">
        <x:v>Masonry</x:v>
      </x:c>
      <x:c r="D21" s="12" t="str">
        <x:v>Lintel material</x:v>
      </x:c>
      <x:c r="E21" s="12" t="str">
        <x:v>m</x:v>
      </x:c>
      <x:c r="F21" s="17" t="n">
        <x:v>24</x:v>
      </x:c>
      <x:c r="G21" s="17" t="n">
        <x:v>18</x:v>
      </x:c>
      <x:c r="H21" s="18" t="n">
        <x:f>IF(B21="","",IF(AND(ISNUMBER(F21),F21&gt;=0,ISNUMBER(G21),G21&gt;=0),ROUND(F21*G21,2),""))</x:f>
        <x:v>432</x:v>
      </x:c>
      <x:c r="I21" s="17" t="n">
        <x:v>450</x:v>
      </x:c>
      <x:c r="J21" s="18" t="n">
        <x:f>IF(B21="","",IF(AND(ISNUMBER(H21),ISNUMBER(I21),I21&gt;=0),I21-H21,"n.a."))</x:f>
        <x:v>18</x:v>
      </x:c>
    </x:row>
    <x:row r="22" ht="22" customHeight="1">
      <x:c r="B22" s="19" t="str">
        <x:v>C04</x:v>
      </x:c>
      <x:c r="C22" s="19" t="str">
        <x:v>Masonry</x:v>
      </x:c>
      <x:c r="D22" s="19" t="str">
        <x:v>Delivery</x:v>
      </x:c>
      <x:c r="E22" s="19" t="str">
        <x:v>lot</x:v>
      </x:c>
      <x:c r="F22" s="20" t="n">
        <x:v>1</x:v>
      </x:c>
      <x:c r="G22" s="20" t="n">
        <x:v>150</x:v>
      </x:c>
      <x:c r="H22" s="21" t="n">
        <x:f>IF(B22="","",IF(AND(ISNUMBER(F22),F22&gt;=0,ISNUMBER(G22),G22&gt;=0),ROUND(F22*G22,2),""))</x:f>
        <x:v>150</x:v>
      </x:c>
      <x:c r="I22" s="20" t="n">
        <x:v>150</x:v>
      </x:c>
      <x:c r="J22" s="21" t="n">
        <x:f>IF(B22="","",IF(AND(ISNUMBER(H22),ISNUMBER(I22),I22&gt;=0),I22-H22,"n.a."))</x:f>
        <x:v>0</x:v>
      </x:c>
    </x:row>
    <x:row r="23" ht="22" customHeight="1">
      <x:c r="B23" s="12" t="str">
        <x:v>D01</x:v>
      </x:c>
      <x:c r="C23" s="12" t="str">
        <x:v>Finishes</x:v>
      </x:c>
      <x:c r="D23" s="12" t="str">
        <x:v>Internal plaster</x:v>
      </x:c>
      <x:c r="E23" s="12" t="str">
        <x:v>m²</x:v>
      </x:c>
      <x:c r="F23" s="17" t="n">
        <x:v>210</x:v>
      </x:c>
      <x:c r="G23" s="17" t="n">
        <x:v>7</x:v>
      </x:c>
      <x:c r="H23" s="18" t="n">
        <x:f>IF(B23="","",IF(AND(ISNUMBER(F23),F23&gt;=0,ISNUMBER(G23),G23&gt;=0),ROUND(F23*G23,2),""))</x:f>
        <x:v>1470</x:v>
      </x:c>
      <x:c r="I23" s="17" t="n">
        <x:v>1420</x:v>
      </x:c>
      <x:c r="J23" s="18" t="n">
        <x:f>IF(B23="","",IF(AND(ISNUMBER(H23),ISNUMBER(I23),I23&gt;=0),I23-H23,"n.a."))</x:f>
        <x:v>-50</x:v>
      </x:c>
    </x:row>
    <x:row r="24" ht="22" customHeight="1">
      <x:c r="B24" s="12" t="str">
        <x:v>D02</x:v>
      </x:c>
      <x:c r="C24" s="12" t="str">
        <x:v>Finishes</x:v>
      </x:c>
      <x:c r="D24" s="12" t="str">
        <x:v>Paint</x:v>
      </x:c>
      <x:c r="E24" s="12" t="str">
        <x:v>m²</x:v>
      </x:c>
      <x:c r="F24" s="17" t="n">
        <x:v>210</x:v>
      </x:c>
      <x:c r="G24" s="17" t="n">
        <x:v>5</x:v>
      </x:c>
      <x:c r="H24" s="18" t="n">
        <x:f>IF(B24="","",IF(AND(ISNUMBER(F24),F24&gt;=0,ISNUMBER(G24),G24&gt;=0),ROUND(F24*G24,2),""))</x:f>
        <x:v>1050</x:v>
      </x:c>
      <x:c r="I24" s="17" t="n">
        <x:v>1100</x:v>
      </x:c>
      <x:c r="J24" s="18" t="n">
        <x:f>IF(B24="","",IF(AND(ISNUMBER(H24),ISNUMBER(I24),I24&gt;=0),I24-H24,"n.a."))</x:f>
        <x:v>50</x:v>
      </x:c>
    </x:row>
    <x:row r="25" ht="22" customHeight="1">
      <x:c r="B25" s="12" t="str">
        <x:v>D03</x:v>
      </x:c>
      <x:c r="C25" s="12" t="str">
        <x:v>Finishes</x:v>
      </x:c>
      <x:c r="D25" s="12" t="str">
        <x:v>Floor tile</x:v>
      </x:c>
      <x:c r="E25" s="12" t="str">
        <x:v>m²</x:v>
      </x:c>
      <x:c r="F25" s="17" t="n">
        <x:v>85</x:v>
      </x:c>
      <x:c r="G25" s="17" t="n">
        <x:v>24</x:v>
      </x:c>
      <x:c r="H25" s="18" t="n">
        <x:f>IF(B25="","",IF(AND(ISNUMBER(F25),F25&gt;=0,ISNUMBER(G25),G25&gt;=0),ROUND(F25*G25,2),""))</x:f>
        <x:v>2040</x:v>
      </x:c>
      <x:c r="I25" s="17" t="n">
        <x:v>2070</x:v>
      </x:c>
      <x:c r="J25" s="18" t="n">
        <x:f>IF(B25="","",IF(AND(ISNUMBER(H25),ISNUMBER(I25),I25&gt;=0),I25-H25,"n.a."))</x:f>
        <x:v>30</x:v>
      </x:c>
    </x:row>
    <x:row r="26" ht="22" customHeight="1">
      <x:c r="B26" s="19" t="str">
        <x:v>D04</x:v>
      </x:c>
      <x:c r="C26" s="19" t="str">
        <x:v>Finishes</x:v>
      </x:c>
      <x:c r="D26" s="19" t="str">
        <x:v>Skirting</x:v>
      </x:c>
      <x:c r="E26" s="19" t="str">
        <x:v>m</x:v>
      </x:c>
      <x:c r="F26" s="20" t="n">
        <x:v>70</x:v>
      </x:c>
      <x:c r="G26" s="20" t="n">
        <x:v>6</x:v>
      </x:c>
      <x:c r="H26" s="21" t="n">
        <x:f>IF(B26="","",IF(AND(ISNUMBER(F26),F26&gt;=0,ISNUMBER(G26),G26&gt;=0),ROUND(F26*G26,2),""))</x:f>
        <x:v>420</x:v>
      </x:c>
      <x:c r="I26" s="20" t="n">
        <x:v>400</x:v>
      </x:c>
      <x:c r="J26" s="21" t="n">
        <x:f>IF(B26="","",IF(AND(ISNUMBER(H26),ISNUMBER(I26),I26&gt;=0),I26-H26,"n.a."))</x:f>
        <x:v>-20</x:v>
      </x:c>
    </x:row>
    <x:row r="27" ht="22" customHeight="1">
      <x:c r="B27" s="12" t="str">
        <x:v>E01</x:v>
      </x:c>
      <x:c r="C27" s="12" t="str">
        <x:v>Services</x:v>
      </x:c>
      <x:c r="D27" s="12" t="str">
        <x:v>Electrical allowance</x:v>
      </x:c>
      <x:c r="E27" s="12" t="str">
        <x:v>lot</x:v>
      </x:c>
      <x:c r="F27" s="17" t="n">
        <x:v>1</x:v>
      </x:c>
      <x:c r="G27" s="17" t="n">
        <x:v>1250</x:v>
      </x:c>
      <x:c r="H27" s="18" t="n">
        <x:f>IF(B27="","",IF(AND(ISNUMBER(F27),F27&gt;=0,ISNUMBER(G27),G27&gt;=0),ROUND(F27*G27,2),""))</x:f>
        <x:v>1250</x:v>
      </x:c>
      <x:c r="I27" s="17" t="n">
        <x:v>1280</x:v>
      </x:c>
      <x:c r="J27" s="18" t="n">
        <x:f>IF(B27="","",IF(AND(ISNUMBER(H27),ISNUMBER(I27),I27&gt;=0),I27-H27,"n.a."))</x:f>
        <x:v>30</x:v>
      </x:c>
    </x:row>
    <x:row r="28" ht="22" customHeight="1">
      <x:c r="B28" s="12" t="str">
        <x:v>E02</x:v>
      </x:c>
      <x:c r="C28" s="12" t="str">
        <x:v>Services</x:v>
      </x:c>
      <x:c r="D28" s="12" t="str">
        <x:v>Plumbing allowance</x:v>
      </x:c>
      <x:c r="E28" s="12" t="str">
        <x:v>lot</x:v>
      </x:c>
      <x:c r="F28" s="17" t="n">
        <x:v>1</x:v>
      </x:c>
      <x:c r="G28" s="17" t="n">
        <x:v>980</x:v>
      </x:c>
      <x:c r="H28" s="18" t="n">
        <x:f>IF(B28="","",IF(AND(ISNUMBER(F28),F28&gt;=0,ISNUMBER(G28),G28&gt;=0),ROUND(F28*G28,2),""))</x:f>
        <x:v>980</x:v>
      </x:c>
      <x:c r="I28" s="17" t="n">
        <x:v>950</x:v>
      </x:c>
      <x:c r="J28" s="18" t="n">
        <x:f>IF(B28="","",IF(AND(ISNUMBER(H28),ISNUMBER(I28),I28&gt;=0),I28-H28,"n.a."))</x:f>
        <x:v>-30</x:v>
      </x:c>
    </x:row>
    <x:row r="29" ht="22" customHeight="1">
      <x:c r="B29" s="12" t="str">
        <x:v>E03</x:v>
      </x:c>
      <x:c r="C29" s="12" t="str">
        <x:v>Services</x:v>
      </x:c>
      <x:c r="D29" s="12" t="str">
        <x:v>Lighting fixtures</x:v>
      </x:c>
      <x:c r="E29" s="12" t="str">
        <x:v>each</x:v>
      </x:c>
      <x:c r="F29" s="17" t="n">
        <x:v>12</x:v>
      </x:c>
      <x:c r="G29" s="17" t="n">
        <x:v>32</x:v>
      </x:c>
      <x:c r="H29" s="18" t="n">
        <x:f>IF(B29="","",IF(AND(ISNUMBER(F29),F29&gt;=0,ISNUMBER(G29),G29&gt;=0),ROUND(F29*G29,2),""))</x:f>
        <x:v>384</x:v>
      </x:c>
      <x:c r="I29" s="17" t="n">
        <x:v>405</x:v>
      </x:c>
      <x:c r="J29" s="18" t="n">
        <x:f>IF(B29="","",IF(AND(ISNUMBER(H29),ISNUMBER(I29),I29&gt;=0),I29-H29,"n.a."))</x:f>
        <x:v>21</x:v>
      </x:c>
    </x:row>
    <x:row r="30" ht="22" customHeight="1">
      <x:c r="B30" s="19" t="str">
        <x:v>E04</x:v>
      </x:c>
      <x:c r="C30" s="19" t="str">
        <x:v>Services</x:v>
      </x:c>
      <x:c r="D30" s="19" t="str">
        <x:v>Final cleanup</x:v>
      </x:c>
      <x:c r="E30" s="19" t="str">
        <x:v>lot</x:v>
      </x:c>
      <x:c r="F30" s="20" t="n">
        <x:v>1</x:v>
      </x:c>
      <x:c r="G30" s="20" t="n">
        <x:v>175</x:v>
      </x:c>
      <x:c r="H30" s="21" t="n">
        <x:f>IF(B30="","",IF(AND(ISNUMBER(F30),F30&gt;=0,ISNUMBER(G30),G30&gt;=0),ROUND(F30*G30,2),""))</x:f>
        <x:v>175</x:v>
      </x:c>
      <x:c r="I30" s="20" t="n">
        <x:v>160</x:v>
      </x:c>
      <x:c r="J30" s="21" t="n">
        <x:f>IF(B30="","",IF(AND(ISNUMBER(H30),ISNUMBER(I30),I30&gt;=0),I30-H30,"n.a."))</x:f>
        <x:v>-15</x:v>
      </x:c>
    </x:row>
    <x:row r="31" ht="22" customHeight="1">
      <x:c r="B31" s="12"/>
      <x:c r="C31" s="12"/>
      <x:c r="D31" s="12"/>
      <x:c r="E31" s="12"/>
      <x:c r="F31" s="17"/>
      <x:c r="G31" s="17"/>
      <x:c r="H31" s="18" t="str">
        <x:f>IF(B31="","",IF(AND(ISNUMBER(F31),F31&gt;=0,ISNUMBER(G31),G31&gt;=0),ROUND(F31*G31,2),""))</x:f>
      </x:c>
      <x:c r="I31" s="17"/>
      <x:c r="J31" s="18" t="str">
        <x:f>IF(B31="","",IF(AND(ISNUMBER(H31),ISNUMBER(I31),I31&gt;=0),I31-H31,"n.a."))</x:f>
      </x:c>
    </x:row>
    <x:row r="32" ht="22" customHeight="1">
      <x:c r="B32" s="12"/>
      <x:c r="C32" s="12"/>
      <x:c r="D32" s="12"/>
      <x:c r="E32" s="12"/>
      <x:c r="F32" s="17"/>
      <x:c r="G32" s="17"/>
      <x:c r="H32" s="18" t="str">
        <x:f>IF(B32="","",IF(AND(ISNUMBER(F32),F32&gt;=0,ISNUMBER(G32),G32&gt;=0),ROUND(F32*G32,2),""))</x:f>
      </x:c>
      <x:c r="I32" s="17"/>
      <x:c r="J32" s="18" t="str">
        <x:f>IF(B32="","",IF(AND(ISNUMBER(H32),ISNUMBER(I32),I32&gt;=0),I32-H32,"n.a."))</x:f>
      </x:c>
    </x:row>
    <x:row r="33" ht="22" customHeight="1">
      <x:c r="B33" s="12"/>
      <x:c r="C33" s="12"/>
      <x:c r="D33" s="12"/>
      <x:c r="E33" s="12"/>
      <x:c r="F33" s="17"/>
      <x:c r="G33" s="17"/>
      <x:c r="H33" s="18" t="str">
        <x:f>IF(B33="","",IF(AND(ISNUMBER(F33),F33&gt;=0,ISNUMBER(G33),G33&gt;=0),ROUND(F33*G33,2),""))</x:f>
      </x:c>
      <x:c r="I33" s="17"/>
      <x:c r="J33" s="18" t="str">
        <x:f>IF(B33="","",IF(AND(ISNUMBER(H33),ISNUMBER(I33),I33&gt;=0),I33-H33,"n.a."))</x:f>
      </x:c>
    </x:row>
    <x:row r="34" ht="22" customHeight="1">
      <x:c r="B34" s="12"/>
      <x:c r="C34" s="12"/>
      <x:c r="D34" s="12"/>
      <x:c r="E34" s="12"/>
      <x:c r="F34" s="17"/>
      <x:c r="G34" s="17"/>
      <x:c r="H34" s="18" t="str">
        <x:f>IF(B34="","",IF(AND(ISNUMBER(F34),F34&gt;=0,ISNUMBER(G34),G34&gt;=0),ROUND(F34*G34,2),""))</x:f>
      </x:c>
      <x:c r="I34" s="17"/>
      <x:c r="J34" s="18" t="str">
        <x:f>IF(B34="","",IF(AND(ISNUMBER(H34),ISNUMBER(I34),I34&gt;=0),I34-H34,"n.a."))</x:f>
      </x:c>
    </x:row>
    <x:row r="35" ht="22" customHeight="1">
      <x:c r="B35" s="12"/>
      <x:c r="C35" s="12"/>
      <x:c r="D35" s="12"/>
      <x:c r="E35" s="12"/>
      <x:c r="F35" s="17"/>
      <x:c r="G35" s="17"/>
      <x:c r="H35" s="18" t="str">
        <x:f>IF(B35="","",IF(AND(ISNUMBER(F35),F35&gt;=0,ISNUMBER(G35),G35&gt;=0),ROUND(F35*G35,2),""))</x:f>
      </x:c>
      <x:c r="I35" s="17"/>
      <x:c r="J35" s="18" t="str">
        <x:f>IF(B35="","",IF(AND(ISNUMBER(H35),ISNUMBER(I35),I35&gt;=0),I35-H35,"n.a."))</x:f>
      </x:c>
    </x:row>
    <x:row r="36" ht="22" customHeight="1">
      <x:c r="B36" s="12"/>
      <x:c r="C36" s="12"/>
      <x:c r="D36" s="12"/>
      <x:c r="E36" s="12"/>
      <x:c r="F36" s="17"/>
      <x:c r="G36" s="17"/>
      <x:c r="H36" s="18" t="str">
        <x:f>IF(B36="","",IF(AND(ISNUMBER(F36),F36&gt;=0,ISNUMBER(G36),G36&gt;=0),ROUND(F36*G36,2),""))</x:f>
      </x:c>
      <x:c r="I36" s="17"/>
      <x:c r="J36" s="18" t="str">
        <x:f>IF(B36="","",IF(AND(ISNUMBER(H36),ISNUMBER(I36),I36&gt;=0),I36-H36,"n.a."))</x:f>
      </x:c>
    </x:row>
    <x:row r="37" ht="22" customHeight="1">
      <x:c r="B37" s="12"/>
      <x:c r="C37" s="12"/>
      <x:c r="D37" s="12"/>
      <x:c r="E37" s="12"/>
      <x:c r="F37" s="17"/>
      <x:c r="G37" s="17"/>
      <x:c r="H37" s="18" t="str">
        <x:f>IF(B37="","",IF(AND(ISNUMBER(F37),F37&gt;=0,ISNUMBER(G37),G37&gt;=0),ROUND(F37*G37,2),""))</x:f>
      </x:c>
      <x:c r="I37" s="17"/>
      <x:c r="J37" s="18" t="str">
        <x:f>IF(B37="","",IF(AND(ISNUMBER(H37),ISNUMBER(I37),I37&gt;=0),I37-H37,"n.a."))</x:f>
      </x:c>
    </x:row>
    <x:row r="38" ht="22" customHeight="1">
      <x:c r="B38" s="12"/>
      <x:c r="C38" s="12"/>
      <x:c r="D38" s="12"/>
      <x:c r="E38" s="12"/>
      <x:c r="F38" s="17"/>
      <x:c r="G38" s="17"/>
      <x:c r="H38" s="18" t="str">
        <x:f>IF(B38="","",IF(AND(ISNUMBER(F38),F38&gt;=0,ISNUMBER(G38),G38&gt;=0),ROUND(F38*G38,2),""))</x:f>
      </x:c>
      <x:c r="I38" s="17"/>
      <x:c r="J38" s="18" t="str">
        <x:f>IF(B38="","",IF(AND(ISNUMBER(H38),ISNUMBER(I38),I38&gt;=0),I38-H38,"n.a."))</x:f>
      </x:c>
    </x:row>
    <x:row r="39" ht="22" customHeight="1">
      <x:c r="B39" s="12"/>
      <x:c r="C39" s="12"/>
      <x:c r="D39" s="12"/>
      <x:c r="E39" s="12"/>
      <x:c r="F39" s="17"/>
      <x:c r="G39" s="17"/>
      <x:c r="H39" s="18" t="str">
        <x:f>IF(B39="","",IF(AND(ISNUMBER(F39),F39&gt;=0,ISNUMBER(G39),G39&gt;=0),ROUND(F39*G39,2),""))</x:f>
      </x:c>
      <x:c r="I39" s="17"/>
      <x:c r="J39" s="18" t="str">
        <x:f>IF(B39="","",IF(AND(ISNUMBER(H39),ISNUMBER(I39),I39&gt;=0),I39-H39,"n.a."))</x:f>
      </x:c>
    </x:row>
    <x:row r="40" ht="22" customHeight="1">
      <x:c r="B40" s="12"/>
      <x:c r="C40" s="12"/>
      <x:c r="D40" s="12"/>
      <x:c r="E40" s="12"/>
      <x:c r="F40" s="17"/>
      <x:c r="G40" s="17"/>
      <x:c r="H40" s="18" t="str">
        <x:f>IF(B40="","",IF(AND(ISNUMBER(F40),F40&gt;=0,ISNUMBER(G40),G40&gt;=0),ROUND(F40*G40,2),""))</x:f>
      </x:c>
      <x:c r="I40" s="17"/>
      <x:c r="J40" s="18" t="str">
        <x:f>IF(B40="","",IF(AND(ISNUMBER(H40),ISNUMBER(I40),I40&gt;=0),I40-H40,"n.a."))</x:f>
      </x:c>
    </x:row>
    <x:row r="41" ht="22" customHeight="1">
      <x:c r="B41" s="12"/>
      <x:c r="C41" s="12"/>
      <x:c r="D41" s="12"/>
      <x:c r="E41" s="12"/>
      <x:c r="F41" s="17"/>
      <x:c r="G41" s="17"/>
      <x:c r="H41" s="18" t="str">
        <x:f>IF(B41="","",IF(AND(ISNUMBER(F41),F41&gt;=0,ISNUMBER(G41),G41&gt;=0),ROUND(F41*G41,2),""))</x:f>
      </x:c>
      <x:c r="I41" s="17"/>
      <x:c r="J41" s="18" t="str">
        <x:f>IF(B41="","",IF(AND(ISNUMBER(H41),ISNUMBER(I41),I41&gt;=0),I41-H41,"n.a."))</x:f>
      </x:c>
    </x:row>
    <x:row r="42" ht="22" customHeight="1">
      <x:c r="B42" s="12"/>
      <x:c r="C42" s="12"/>
      <x:c r="D42" s="12"/>
      <x:c r="E42" s="12"/>
      <x:c r="F42" s="17"/>
      <x:c r="G42" s="17"/>
      <x:c r="H42" s="18" t="str">
        <x:f>IF(B42="","",IF(AND(ISNUMBER(F42),F42&gt;=0,ISNUMBER(G42),G42&gt;=0),ROUND(F42*G42,2),""))</x:f>
      </x:c>
      <x:c r="I42" s="17"/>
      <x:c r="J42" s="18" t="str">
        <x:f>IF(B42="","",IF(AND(ISNUMBER(H42),ISNUMBER(I42),I42&gt;=0),I42-H42,"n.a."))</x:f>
      </x:c>
    </x:row>
    <x:row r="43" ht="22" customHeight="1">
      <x:c r="B43" s="12"/>
      <x:c r="C43" s="12"/>
      <x:c r="D43" s="12"/>
      <x:c r="E43" s="12"/>
      <x:c r="F43" s="17"/>
      <x:c r="G43" s="17"/>
      <x:c r="H43" s="18" t="str">
        <x:f>IF(B43="","",IF(AND(ISNUMBER(F43),F43&gt;=0,ISNUMBER(G43),G43&gt;=0),ROUND(F43*G43,2),""))</x:f>
      </x:c>
      <x:c r="I43" s="17"/>
      <x:c r="J43" s="18" t="str">
        <x:f>IF(B43="","",IF(AND(ISNUMBER(H43),ISNUMBER(I43),I43&gt;=0),I43-H43,"n.a."))</x:f>
      </x:c>
    </x:row>
    <x:row r="44" ht="22" customHeight="1">
      <x:c r="B44" s="12"/>
      <x:c r="C44" s="12"/>
      <x:c r="D44" s="12"/>
      <x:c r="E44" s="12"/>
      <x:c r="F44" s="17"/>
      <x:c r="G44" s="17"/>
      <x:c r="H44" s="18" t="str">
        <x:f>IF(B44="","",IF(AND(ISNUMBER(F44),F44&gt;=0,ISNUMBER(G44),G44&gt;=0),ROUND(F44*G44,2),""))</x:f>
      </x:c>
      <x:c r="I44" s="17"/>
      <x:c r="J44" s="18" t="str">
        <x:f>IF(B44="","",IF(AND(ISNUMBER(H44),ISNUMBER(I44),I44&gt;=0),I44-H44,"n.a."))</x:f>
      </x:c>
    </x:row>
    <x:row r="45" ht="22" customHeight="1">
      <x:c r="B45" s="12"/>
      <x:c r="C45" s="12"/>
      <x:c r="D45" s="12"/>
      <x:c r="E45" s="12"/>
      <x:c r="F45" s="17"/>
      <x:c r="G45" s="17"/>
      <x:c r="H45" s="18" t="str">
        <x:f>IF(B45="","",IF(AND(ISNUMBER(F45),F45&gt;=0,ISNUMBER(G45),G45&gt;=0),ROUND(F45*G45,2),""))</x:f>
      </x:c>
      <x:c r="I45" s="17"/>
      <x:c r="J45" s="18" t="str">
        <x:f>IF(B45="","",IF(AND(ISNUMBER(H45),ISNUMBER(I45),I45&gt;=0),I45-H45,"n.a."))</x:f>
      </x:c>
    </x:row>
    <x:row r="46" ht="22" customHeight="1">
      <x:c r="B46" s="12"/>
      <x:c r="C46" s="12"/>
      <x:c r="D46" s="12"/>
      <x:c r="E46" s="12"/>
      <x:c r="F46" s="17"/>
      <x:c r="G46" s="17"/>
      <x:c r="H46" s="18" t="str">
        <x:f>IF(B46="","",IF(AND(ISNUMBER(F46),F46&gt;=0,ISNUMBER(G46),G46&gt;=0),ROUND(F46*G46,2),""))</x:f>
      </x:c>
      <x:c r="I46" s="17"/>
      <x:c r="J46" s="18" t="str">
        <x:f>IF(B46="","",IF(AND(ISNUMBER(H46),ISNUMBER(I46),I46&gt;=0),I46-H46,"n.a."))</x:f>
      </x:c>
    </x:row>
    <x:row r="47" ht="22" customHeight="1">
      <x:c r="B47" s="12"/>
      <x:c r="C47" s="12"/>
      <x:c r="D47" s="12"/>
      <x:c r="E47" s="12"/>
      <x:c r="F47" s="17"/>
      <x:c r="G47" s="17"/>
      <x:c r="H47" s="18" t="str">
        <x:f>IF(B47="","",IF(AND(ISNUMBER(F47),F47&gt;=0,ISNUMBER(G47),G47&gt;=0),ROUND(F47*G47,2),""))</x:f>
      </x:c>
      <x:c r="I47" s="17"/>
      <x:c r="J47" s="18" t="str">
        <x:f>IF(B47="","",IF(AND(ISNUMBER(H47),ISNUMBER(I47),I47&gt;=0),I47-H47,"n.a."))</x:f>
      </x:c>
    </x:row>
    <x:row r="48" ht="22" customHeight="1">
      <x:c r="B48" s="12"/>
      <x:c r="C48" s="12"/>
      <x:c r="D48" s="12"/>
      <x:c r="E48" s="12"/>
      <x:c r="F48" s="17"/>
      <x:c r="G48" s="17"/>
      <x:c r="H48" s="18" t="str">
        <x:f>IF(B48="","",IF(AND(ISNUMBER(F48),F48&gt;=0,ISNUMBER(G48),G48&gt;=0),ROUND(F48*G48,2),""))</x:f>
      </x:c>
      <x:c r="I48" s="17"/>
      <x:c r="J48" s="18" t="str">
        <x:f>IF(B48="","",IF(AND(ISNUMBER(H48),ISNUMBER(I48),I48&gt;=0),I48-H48,"n.a."))</x:f>
      </x:c>
    </x:row>
    <x:row r="49" ht="22" customHeight="1">
      <x:c r="B49" s="12"/>
      <x:c r="C49" s="12"/>
      <x:c r="D49" s="12"/>
      <x:c r="E49" s="12"/>
      <x:c r="F49" s="17"/>
      <x:c r="G49" s="17"/>
      <x:c r="H49" s="18" t="str">
        <x:f>IF(B49="","",IF(AND(ISNUMBER(F49),F49&gt;=0,ISNUMBER(G49),G49&gt;=0),ROUND(F49*G49,2),""))</x:f>
      </x:c>
      <x:c r="I49" s="17"/>
      <x:c r="J49" s="18" t="str">
        <x:f>IF(B49="","",IF(AND(ISNUMBER(H49),ISNUMBER(I49),I49&gt;=0),I49-H49,"n.a."))</x:f>
      </x:c>
    </x:row>
    <x:row r="50" ht="22" customHeight="1">
      <x:c r="B50" s="12"/>
      <x:c r="C50" s="12"/>
      <x:c r="D50" s="12"/>
      <x:c r="E50" s="12"/>
      <x:c r="F50" s="17"/>
      <x:c r="G50" s="17"/>
      <x:c r="H50" s="18" t="str">
        <x:f>IF(B50="","",IF(AND(ISNUMBER(F50),F50&gt;=0,ISNUMBER(G50),G50&gt;=0),ROUND(F50*G50,2),""))</x:f>
      </x:c>
      <x:c r="I50" s="17"/>
      <x:c r="J50" s="18" t="str">
        <x:f>IF(B50="","",IF(AND(ISNUMBER(H50),ISNUMBER(I50),I50&gt;=0),I50-H50,"n.a."))</x:f>
      </x:c>
    </x:row>
    <x:row r="51" ht="22" customHeight="1">
      <x:c r="B51" s="12"/>
      <x:c r="C51" s="12"/>
      <x:c r="D51" s="12"/>
      <x:c r="E51" s="12"/>
      <x:c r="F51" s="17"/>
      <x:c r="G51" s="17"/>
      <x:c r="H51" s="18" t="str">
        <x:f>IF(B51="","",IF(AND(ISNUMBER(F51),F51&gt;=0,ISNUMBER(G51),G51&gt;=0),ROUND(F51*G51,2),""))</x:f>
      </x:c>
      <x:c r="I51" s="17"/>
      <x:c r="J51" s="18" t="str">
        <x:f>IF(B51="","",IF(AND(ISNUMBER(H51),ISNUMBER(I51),I51&gt;=0),I51-H51,"n.a."))</x:f>
      </x:c>
    </x:row>
    <x:row r="52" ht="22" customHeight="1">
      <x:c r="B52" s="12"/>
      <x:c r="C52" s="12"/>
      <x:c r="D52" s="12"/>
      <x:c r="E52" s="12"/>
      <x:c r="F52" s="17"/>
      <x:c r="G52" s="17"/>
      <x:c r="H52" s="18" t="str">
        <x:f>IF(B52="","",IF(AND(ISNUMBER(F52),F52&gt;=0,ISNUMBER(G52),G52&gt;=0),ROUND(F52*G52,2),""))</x:f>
      </x:c>
      <x:c r="I52" s="17"/>
      <x:c r="J52" s="18" t="str">
        <x:f>IF(B52="","",IF(AND(ISNUMBER(H52),ISNUMBER(I52),I52&gt;=0),I52-H52,"n.a."))</x:f>
      </x:c>
    </x:row>
    <x:row r="53" ht="22" customHeight="1">
      <x:c r="B53" s="12"/>
      <x:c r="C53" s="12"/>
      <x:c r="D53" s="12"/>
      <x:c r="E53" s="12"/>
      <x:c r="F53" s="17"/>
      <x:c r="G53" s="17"/>
      <x:c r="H53" s="18" t="str">
        <x:f>IF(B53="","",IF(AND(ISNUMBER(F53),F53&gt;=0,ISNUMBER(G53),G53&gt;=0),ROUND(F53*G53,2),""))</x:f>
      </x:c>
      <x:c r="I53" s="17"/>
      <x:c r="J53" s="18" t="str">
        <x:f>IF(B53="","",IF(AND(ISNUMBER(H53),ISNUMBER(I53),I53&gt;=0),I53-H53,"n.a."))</x:f>
      </x:c>
    </x:row>
    <x:row r="54" ht="22" customHeight="1">
      <x:c r="B54" s="12"/>
      <x:c r="C54" s="12"/>
      <x:c r="D54" s="12"/>
      <x:c r="E54" s="12"/>
      <x:c r="F54" s="17"/>
      <x:c r="G54" s="17"/>
      <x:c r="H54" s="18" t="str">
        <x:f>IF(B54="","",IF(AND(ISNUMBER(F54),F54&gt;=0,ISNUMBER(G54),G54&gt;=0),ROUND(F54*G54,2),""))</x:f>
      </x:c>
      <x:c r="I54" s="17"/>
      <x:c r="J54" s="18" t="str">
        <x:f>IF(B54="","",IF(AND(ISNUMBER(H54),ISNUMBER(I54),I54&gt;=0),I54-H54,"n.a."))</x:f>
      </x:c>
    </x:row>
    <x:row r="55" ht="22" customHeight="1">
      <x:c r="B55" s="12"/>
      <x:c r="C55" s="12"/>
      <x:c r="D55" s="12"/>
      <x:c r="E55" s="12"/>
      <x:c r="F55" s="17"/>
      <x:c r="G55" s="17"/>
      <x:c r="H55" s="18" t="str">
        <x:f>IF(B55="","",IF(AND(ISNUMBER(F55),F55&gt;=0,ISNUMBER(G55),G55&gt;=0),ROUND(F55*G55,2),""))</x:f>
      </x:c>
      <x:c r="I55" s="17"/>
      <x:c r="J55" s="18" t="str">
        <x:f>IF(B55="","",IF(AND(ISNUMBER(H55),ISNUMBER(I55),I55&gt;=0),I55-H55,"n.a."))</x:f>
      </x:c>
    </x:row>
    <x:row r="56" ht="22" customHeight="1">
      <x:c r="B56" s="12"/>
      <x:c r="C56" s="12"/>
      <x:c r="D56" s="12"/>
      <x:c r="E56" s="12"/>
      <x:c r="F56" s="17"/>
      <x:c r="G56" s="17"/>
      <x:c r="H56" s="18" t="str">
        <x:f>IF(B56="","",IF(AND(ISNUMBER(F56),F56&gt;=0,ISNUMBER(G56),G56&gt;=0),ROUND(F56*G56,2),""))</x:f>
      </x:c>
      <x:c r="I56" s="17"/>
      <x:c r="J56" s="18" t="str">
        <x:f>IF(B56="","",IF(AND(ISNUMBER(H56),ISNUMBER(I56),I56&gt;=0),I56-H56,"n.a."))</x:f>
      </x:c>
    </x:row>
    <x:row r="57" ht="22" customHeight="1">
      <x:c r="B57" s="12"/>
      <x:c r="C57" s="12"/>
      <x:c r="D57" s="12"/>
      <x:c r="E57" s="12"/>
      <x:c r="F57" s="17"/>
      <x:c r="G57" s="17"/>
      <x:c r="H57" s="18" t="str">
        <x:f>IF(B57="","",IF(AND(ISNUMBER(F57),F57&gt;=0,ISNUMBER(G57),G57&gt;=0),ROUND(F57*G57,2),""))</x:f>
      </x:c>
      <x:c r="I57" s="17"/>
      <x:c r="J57" s="18" t="str">
        <x:f>IF(B57="","",IF(AND(ISNUMBER(H57),ISNUMBER(I57),I57&gt;=0),I57-H57,"n.a."))</x:f>
      </x:c>
    </x:row>
    <x:row r="58" ht="22" customHeight="1">
      <x:c r="B58" s="12"/>
      <x:c r="C58" s="12"/>
      <x:c r="D58" s="12"/>
      <x:c r="E58" s="12"/>
      <x:c r="F58" s="17"/>
      <x:c r="G58" s="17"/>
      <x:c r="H58" s="18" t="str">
        <x:f>IF(B58="","",IF(AND(ISNUMBER(F58),F58&gt;=0,ISNUMBER(G58),G58&gt;=0),ROUND(F58*G58,2),""))</x:f>
      </x:c>
      <x:c r="I58" s="17"/>
      <x:c r="J58" s="18" t="str">
        <x:f>IF(B58="","",IF(AND(ISNUMBER(H58),ISNUMBER(I58),I58&gt;=0),I58-H58,"n.a."))</x:f>
      </x:c>
    </x:row>
    <x:row r="59" ht="22" customHeight="1">
      <x:c r="B59" s="12"/>
      <x:c r="C59" s="12"/>
      <x:c r="D59" s="12"/>
      <x:c r="E59" s="12"/>
      <x:c r="F59" s="17"/>
      <x:c r="G59" s="17"/>
      <x:c r="H59" s="18" t="str">
        <x:f>IF(B59="","",IF(AND(ISNUMBER(F59),F59&gt;=0,ISNUMBER(G59),G59&gt;=0),ROUND(F59*G59,2),""))</x:f>
      </x:c>
      <x:c r="I59" s="17"/>
      <x:c r="J59" s="18" t="str">
        <x:f>IF(B59="","",IF(AND(ISNUMBER(H59),ISNUMBER(I59),I59&gt;=0),I59-H59,"n.a."))</x:f>
      </x:c>
    </x:row>
    <x:row r="60" ht="22" customHeight="1">
      <x:c r="B60" s="12"/>
      <x:c r="C60" s="12"/>
      <x:c r="D60" s="12"/>
      <x:c r="E60" s="12"/>
      <x:c r="F60" s="17"/>
      <x:c r="G60" s="17"/>
      <x:c r="H60" s="18" t="str">
        <x:f>IF(B60="","",IF(AND(ISNUMBER(F60),F60&gt;=0,ISNUMBER(G60),G60&gt;=0),ROUND(F60*G60,2),""))</x:f>
      </x:c>
      <x:c r="I60" s="17"/>
      <x:c r="J60" s="18" t="str">
        <x:f>IF(B60="","",IF(AND(ISNUMBER(H60),ISNUMBER(I60),I60&gt;=0),I60-H60,"n.a."))</x:f>
      </x:c>
    </x:row>
    <x:row r="61" ht="22" customHeight="1">
      <x:c r="B61" s="12"/>
      <x:c r="C61" s="12"/>
      <x:c r="D61" s="12"/>
      <x:c r="E61" s="12"/>
      <x:c r="F61" s="17"/>
      <x:c r="G61" s="17"/>
      <x:c r="H61" s="18" t="str">
        <x:f>IF(B61="","",IF(AND(ISNUMBER(F61),F61&gt;=0,ISNUMBER(G61),G61&gt;=0),ROUND(F61*G61,2),""))</x:f>
      </x:c>
      <x:c r="I61" s="17"/>
      <x:c r="J61" s="18" t="str">
        <x:f>IF(B61="","",IF(AND(ISNUMBER(H61),ISNUMBER(I61),I61&gt;=0),I61-H61,"n.a."))</x:f>
      </x:c>
    </x:row>
    <x:row r="62" ht="22" customHeight="1">
      <x:c r="B62" s="12"/>
      <x:c r="C62" s="12"/>
      <x:c r="D62" s="12"/>
      <x:c r="E62" s="12"/>
      <x:c r="F62" s="17"/>
      <x:c r="G62" s="17"/>
      <x:c r="H62" s="18" t="str">
        <x:f>IF(B62="","",IF(AND(ISNUMBER(F62),F62&gt;=0,ISNUMBER(G62),G62&gt;=0),ROUND(F62*G62,2),""))</x:f>
      </x:c>
      <x:c r="I62" s="17"/>
      <x:c r="J62" s="18" t="str">
        <x:f>IF(B62="","",IF(AND(ISNUMBER(H62),ISNUMBER(I62),I62&gt;=0),I62-H62,"n.a."))</x:f>
      </x:c>
    </x:row>
    <x:row r="63" ht="22" customHeight="1">
      <x:c r="B63" s="12"/>
      <x:c r="C63" s="12"/>
      <x:c r="D63" s="12"/>
      <x:c r="E63" s="12"/>
      <x:c r="F63" s="17"/>
      <x:c r="G63" s="17"/>
      <x:c r="H63" s="18" t="str">
        <x:f>IF(B63="","",IF(AND(ISNUMBER(F63),F63&gt;=0,ISNUMBER(G63),G63&gt;=0),ROUND(F63*G63,2),""))</x:f>
      </x:c>
      <x:c r="I63" s="17"/>
      <x:c r="J63" s="18" t="str">
        <x:f>IF(B63="","",IF(AND(ISNUMBER(H63),ISNUMBER(I63),I63&gt;=0),I63-H63,"n.a."))</x:f>
      </x:c>
    </x:row>
    <x:row r="64" ht="22" customHeight="1">
      <x:c r="B64" s="12"/>
      <x:c r="C64" s="12"/>
      <x:c r="D64" s="12"/>
      <x:c r="E64" s="12"/>
      <x:c r="F64" s="17"/>
      <x:c r="G64" s="17"/>
      <x:c r="H64" s="18" t="str">
        <x:f>IF(B64="","",IF(AND(ISNUMBER(F64),F64&gt;=0,ISNUMBER(G64),G64&gt;=0),ROUND(F64*G64,2),""))</x:f>
      </x:c>
      <x:c r="I64" s="17"/>
      <x:c r="J64" s="18" t="str">
        <x:f>IF(B64="","",IF(AND(ISNUMBER(H64),ISNUMBER(I64),I64&gt;=0),I64-H64,"n.a."))</x:f>
      </x:c>
    </x:row>
    <x:row r="65" ht="22" customHeight="1">
      <x:c r="B65" s="12"/>
      <x:c r="C65" s="12"/>
      <x:c r="D65" s="12"/>
      <x:c r="E65" s="12"/>
      <x:c r="F65" s="17"/>
      <x:c r="G65" s="17"/>
      <x:c r="H65" s="18" t="str">
        <x:f>IF(B65="","",IF(AND(ISNUMBER(F65),F65&gt;=0,ISNUMBER(G65),G65&gt;=0),ROUND(F65*G65,2),""))</x:f>
      </x:c>
      <x:c r="I65" s="17"/>
      <x:c r="J65" s="18" t="str">
        <x:f>IF(B65="","",IF(AND(ISNUMBER(H65),ISNUMBER(I65),I65&gt;=0),I65-H65,"n.a."))</x:f>
      </x:c>
    </x:row>
    <x:row r="66" ht="22" customHeight="1">
      <x:c r="B66" s="12"/>
      <x:c r="C66" s="12"/>
      <x:c r="D66" s="12"/>
      <x:c r="E66" s="12"/>
      <x:c r="F66" s="17"/>
      <x:c r="G66" s="17"/>
      <x:c r="H66" s="18" t="str">
        <x:f>IF(B66="","",IF(AND(ISNUMBER(F66),F66&gt;=0,ISNUMBER(G66),G66&gt;=0),ROUND(F66*G66,2),""))</x:f>
      </x:c>
      <x:c r="I66" s="17"/>
      <x:c r="J66" s="18" t="str">
        <x:f>IF(B66="","",IF(AND(ISNUMBER(H66),ISNUMBER(I66),I66&gt;=0),I66-H66,"n.a."))</x:f>
      </x:c>
    </x:row>
    <x:row r="67" ht="22" customHeight="1">
      <x:c r="B67" s="12"/>
      <x:c r="C67" s="12"/>
      <x:c r="D67" s="12"/>
      <x:c r="E67" s="12"/>
      <x:c r="F67" s="17"/>
      <x:c r="G67" s="17"/>
      <x:c r="H67" s="18" t="str">
        <x:f>IF(B67="","",IF(AND(ISNUMBER(F67),F67&gt;=0,ISNUMBER(G67),G67&gt;=0),ROUND(F67*G67,2),""))</x:f>
      </x:c>
      <x:c r="I67" s="17"/>
      <x:c r="J67" s="18" t="str">
        <x:f>IF(B67="","",IF(AND(ISNUMBER(H67),ISNUMBER(I67),I67&gt;=0),I67-H67,"n.a."))</x:f>
      </x:c>
    </x:row>
    <x:row r="68" ht="22" customHeight="1">
      <x:c r="B68" s="12"/>
      <x:c r="C68" s="12"/>
      <x:c r="D68" s="12"/>
      <x:c r="E68" s="12"/>
      <x:c r="F68" s="17"/>
      <x:c r="G68" s="17"/>
      <x:c r="H68" s="18" t="str">
        <x:f>IF(B68="","",IF(AND(ISNUMBER(F68),F68&gt;=0,ISNUMBER(G68),G68&gt;=0),ROUND(F68*G68,2),""))</x:f>
      </x:c>
      <x:c r="I68" s="17"/>
      <x:c r="J68" s="18" t="str">
        <x:f>IF(B68="","",IF(AND(ISNUMBER(H68),ISNUMBER(I68),I68&gt;=0),I68-H68,"n.a."))</x:f>
      </x:c>
    </x:row>
    <x:row r="69" ht="22" customHeight="1">
      <x:c r="B69" s="12"/>
      <x:c r="C69" s="12"/>
      <x:c r="D69" s="12"/>
      <x:c r="E69" s="12"/>
      <x:c r="F69" s="17"/>
      <x:c r="G69" s="17"/>
      <x:c r="H69" s="18" t="str">
        <x:f>IF(B69="","",IF(AND(ISNUMBER(F69),F69&gt;=0,ISNUMBER(G69),G69&gt;=0),ROUND(F69*G69,2),""))</x:f>
      </x:c>
      <x:c r="I69" s="17"/>
      <x:c r="J69" s="18" t="str">
        <x:f>IF(B69="","",IF(AND(ISNUMBER(H69),ISNUMBER(I69),I69&gt;=0),I69-H69,"n.a."))</x:f>
      </x:c>
    </x:row>
    <x:row r="70" ht="22" customHeight="1">
      <x:c r="B70" s="12"/>
      <x:c r="C70" s="12"/>
      <x:c r="D70" s="12"/>
      <x:c r="E70" s="12"/>
      <x:c r="F70" s="17"/>
      <x:c r="G70" s="17"/>
      <x:c r="H70" s="18" t="str">
        <x:f>IF(B70="","",IF(AND(ISNUMBER(F70),F70&gt;=0,ISNUMBER(G70),G70&gt;=0),ROUND(F70*G70,2),""))</x:f>
      </x:c>
      <x:c r="I70" s="17"/>
      <x:c r="J70" s="18" t="str">
        <x:f>IF(B70="","",IF(AND(ISNUMBER(H70),ISNUMBER(I70),I70&gt;=0),I70-H70,"n.a."))</x:f>
      </x:c>
    </x:row>
    <x:row r="71" ht="22" customHeight="1">
      <x:c r="B71" s="12"/>
      <x:c r="C71" s="12"/>
      <x:c r="D71" s="12"/>
      <x:c r="E71" s="12"/>
      <x:c r="F71" s="17"/>
      <x:c r="G71" s="17"/>
      <x:c r="H71" s="18" t="str">
        <x:f>IF(B71="","",IF(AND(ISNUMBER(F71),F71&gt;=0,ISNUMBER(G71),G71&gt;=0),ROUND(F71*G71,2),""))</x:f>
      </x:c>
      <x:c r="I71" s="17"/>
      <x:c r="J71" s="18" t="str">
        <x:f>IF(B71="","",IF(AND(ISNUMBER(H71),ISNUMBER(I71),I71&gt;=0),I71-H71,"n.a."))</x:f>
      </x:c>
    </x:row>
    <x:row r="72" ht="22" customHeight="1">
      <x:c r="B72" s="12"/>
      <x:c r="C72" s="12"/>
      <x:c r="D72" s="12"/>
      <x:c r="E72" s="12"/>
      <x:c r="F72" s="17"/>
      <x:c r="G72" s="17"/>
      <x:c r="H72" s="18" t="str">
        <x:f>IF(B72="","",IF(AND(ISNUMBER(F72),F72&gt;=0,ISNUMBER(G72),G72&gt;=0),ROUND(F72*G72,2),""))</x:f>
      </x:c>
      <x:c r="I72" s="17"/>
      <x:c r="J72" s="18" t="str">
        <x:f>IF(B72="","",IF(AND(ISNUMBER(H72),ISNUMBER(I72),I72&gt;=0),I72-H72,"n.a."))</x:f>
      </x:c>
    </x:row>
    <x:row r="73" ht="22" customHeight="1">
      <x:c r="B73" s="12"/>
      <x:c r="C73" s="12"/>
      <x:c r="D73" s="12"/>
      <x:c r="E73" s="12"/>
      <x:c r="F73" s="17"/>
      <x:c r="G73" s="17"/>
      <x:c r="H73" s="18" t="str">
        <x:f>IF(B73="","",IF(AND(ISNUMBER(F73),F73&gt;=0,ISNUMBER(G73),G73&gt;=0),ROUND(F73*G73,2),""))</x:f>
      </x:c>
      <x:c r="I73" s="17"/>
      <x:c r="J73" s="18" t="str">
        <x:f>IF(B73="","",IF(AND(ISNUMBER(H73),ISNUMBER(I73),I73&gt;=0),I73-H73,"n.a."))</x:f>
      </x:c>
    </x:row>
    <x:row r="74" ht="22" customHeight="1">
      <x:c r="B74" s="12"/>
      <x:c r="C74" s="12"/>
      <x:c r="D74" s="12"/>
      <x:c r="E74" s="12"/>
      <x:c r="F74" s="17"/>
      <x:c r="G74" s="17"/>
      <x:c r="H74" s="18" t="str">
        <x:f>IF(B74="","",IF(AND(ISNUMBER(F74),F74&gt;=0,ISNUMBER(G74),G74&gt;=0),ROUND(F74*G74,2),""))</x:f>
      </x:c>
      <x:c r="I74" s="17"/>
      <x:c r="J74" s="18" t="str">
        <x:f>IF(B74="","",IF(AND(ISNUMBER(H74),ISNUMBER(I74),I74&gt;=0),I74-H74,"n.a."))</x:f>
      </x:c>
    </x:row>
    <x:row r="75" ht="22" customHeight="1">
      <x:c r="B75" s="12"/>
      <x:c r="C75" s="12"/>
      <x:c r="D75" s="12"/>
      <x:c r="E75" s="12"/>
      <x:c r="F75" s="17"/>
      <x:c r="G75" s="17"/>
      <x:c r="H75" s="18" t="str">
        <x:f>IF(B75="","",IF(AND(ISNUMBER(F75),F75&gt;=0,ISNUMBER(G75),G75&gt;=0),ROUND(F75*G75,2),""))</x:f>
      </x:c>
      <x:c r="I75" s="17"/>
      <x:c r="J75" s="18" t="str">
        <x:f>IF(B75="","",IF(AND(ISNUMBER(H75),ISNUMBER(I75),I75&gt;=0),I75-H75,"n.a."))</x:f>
      </x:c>
    </x:row>
    <x:row r="76" ht="22" customHeight="1">
      <x:c r="B76" s="12"/>
      <x:c r="C76" s="12"/>
      <x:c r="D76" s="12"/>
      <x:c r="E76" s="12"/>
      <x:c r="F76" s="17"/>
      <x:c r="G76" s="17"/>
      <x:c r="H76" s="18" t="str">
        <x:f>IF(B76="","",IF(AND(ISNUMBER(F76),F76&gt;=0,ISNUMBER(G76),G76&gt;=0),ROUND(F76*G76,2),""))</x:f>
      </x:c>
      <x:c r="I76" s="17"/>
      <x:c r="J76" s="18" t="str">
        <x:f>IF(B76="","",IF(AND(ISNUMBER(H76),ISNUMBER(I76),I76&gt;=0),I76-H76,"n.a."))</x:f>
      </x:c>
    </x:row>
    <x:row r="77" ht="22" customHeight="1">
      <x:c r="B77" s="12"/>
      <x:c r="C77" s="12"/>
      <x:c r="D77" s="12"/>
      <x:c r="E77" s="12"/>
      <x:c r="F77" s="17"/>
      <x:c r="G77" s="17"/>
      <x:c r="H77" s="18" t="str">
        <x:f>IF(B77="","",IF(AND(ISNUMBER(F77),F77&gt;=0,ISNUMBER(G77),G77&gt;=0),ROUND(F77*G77,2),""))</x:f>
      </x:c>
      <x:c r="I77" s="17"/>
      <x:c r="J77" s="18" t="str">
        <x:f>IF(B77="","",IF(AND(ISNUMBER(H77),ISNUMBER(I77),I77&gt;=0),I77-H77,"n.a."))</x:f>
      </x:c>
    </x:row>
    <x:row r="78" ht="22" customHeight="1">
      <x:c r="B78" s="12"/>
      <x:c r="C78" s="12"/>
      <x:c r="D78" s="12"/>
      <x:c r="E78" s="12"/>
      <x:c r="F78" s="17"/>
      <x:c r="G78" s="17"/>
      <x:c r="H78" s="18" t="str">
        <x:f>IF(B78="","",IF(AND(ISNUMBER(F78),F78&gt;=0,ISNUMBER(G78),G78&gt;=0),ROUND(F78*G78,2),""))</x:f>
      </x:c>
      <x:c r="I78" s="17"/>
      <x:c r="J78" s="18" t="str">
        <x:f>IF(B78="","",IF(AND(ISNUMBER(H78),ISNUMBER(I78),I78&gt;=0),I78-H78,"n.a."))</x:f>
      </x:c>
    </x:row>
    <x:row r="79" ht="22" customHeight="1">
      <x:c r="B79" s="12"/>
      <x:c r="C79" s="12"/>
      <x:c r="D79" s="12"/>
      <x:c r="E79" s="12"/>
      <x:c r="F79" s="17"/>
      <x:c r="G79" s="17"/>
      <x:c r="H79" s="18" t="str">
        <x:f>IF(B79="","",IF(AND(ISNUMBER(F79),F79&gt;=0,ISNUMBER(G79),G79&gt;=0),ROUND(F79*G79,2),""))</x:f>
      </x:c>
      <x:c r="I79" s="17"/>
      <x:c r="J79" s="18" t="str">
        <x:f>IF(B79="","",IF(AND(ISNUMBER(H79),ISNUMBER(I79),I79&gt;=0),I79-H79,"n.a."))</x:f>
      </x:c>
    </x:row>
    <x:row r="80" ht="22" customHeight="1">
      <x:c r="B80" s="12"/>
      <x:c r="C80" s="12"/>
      <x:c r="D80" s="12"/>
      <x:c r="E80" s="12"/>
      <x:c r="F80" s="17"/>
      <x:c r="G80" s="17"/>
      <x:c r="H80" s="18" t="str">
        <x:f>IF(B80="","",IF(AND(ISNUMBER(F80),F80&gt;=0,ISNUMBER(G80),G80&gt;=0),ROUND(F80*G80,2),""))</x:f>
      </x:c>
      <x:c r="I80" s="17"/>
      <x:c r="J80" s="18" t="str">
        <x:f>IF(B80="","",IF(AND(ISNUMBER(H80),ISNUMBER(I80),I80&gt;=0),I80-H80,"n.a."))</x:f>
      </x:c>
    </x:row>
    <x:row r="81" ht="22" customHeight="1">
      <x:c r="B81" s="12"/>
      <x:c r="C81" s="12"/>
      <x:c r="D81" s="12"/>
      <x:c r="E81" s="12"/>
      <x:c r="F81" s="17"/>
      <x:c r="G81" s="17"/>
      <x:c r="H81" s="18" t="str">
        <x:f>IF(B81="","",IF(AND(ISNUMBER(F81),F81&gt;=0,ISNUMBER(G81),G81&gt;=0),ROUND(F81*G81,2),""))</x:f>
      </x:c>
      <x:c r="I81" s="17"/>
      <x:c r="J81" s="18" t="str">
        <x:f>IF(B81="","",IF(AND(ISNUMBER(H81),ISNUMBER(I81),I81&gt;=0),I81-H81,"n.a."))</x:f>
      </x:c>
    </x:row>
    <x:row r="82" ht="22" customHeight="1">
      <x:c r="B82" s="12"/>
      <x:c r="C82" s="12"/>
      <x:c r="D82" s="12"/>
      <x:c r="E82" s="12"/>
      <x:c r="F82" s="17"/>
      <x:c r="G82" s="17"/>
      <x:c r="H82" s="18" t="str">
        <x:f>IF(B82="","",IF(AND(ISNUMBER(F82),F82&gt;=0,ISNUMBER(G82),G82&gt;=0),ROUND(F82*G82,2),""))</x:f>
      </x:c>
      <x:c r="I82" s="17"/>
      <x:c r="J82" s="18" t="str">
        <x:f>IF(B82="","",IF(AND(ISNUMBER(H82),ISNUMBER(I82),I82&gt;=0),I82-H82,"n.a."))</x:f>
      </x:c>
    </x:row>
    <x:row r="83" ht="22" customHeight="1">
      <x:c r="B83" s="12"/>
      <x:c r="C83" s="12"/>
      <x:c r="D83" s="12"/>
      <x:c r="E83" s="12"/>
      <x:c r="F83" s="17"/>
      <x:c r="G83" s="17"/>
      <x:c r="H83" s="18" t="str">
        <x:f>IF(B83="","",IF(AND(ISNUMBER(F83),F83&gt;=0,ISNUMBER(G83),G83&gt;=0),ROUND(F83*G83,2),""))</x:f>
      </x:c>
      <x:c r="I83" s="17"/>
      <x:c r="J83" s="18" t="str">
        <x:f>IF(B83="","",IF(AND(ISNUMBER(H83),ISNUMBER(I83),I83&gt;=0),I83-H83,"n.a."))</x:f>
      </x:c>
    </x:row>
    <x:row r="84" ht="22" customHeight="1">
      <x:c r="B84" s="12"/>
      <x:c r="C84" s="12"/>
      <x:c r="D84" s="12"/>
      <x:c r="E84" s="12"/>
      <x:c r="F84" s="17"/>
      <x:c r="G84" s="17"/>
      <x:c r="H84" s="18" t="str">
        <x:f>IF(B84="","",IF(AND(ISNUMBER(F84),F84&gt;=0,ISNUMBER(G84),G84&gt;=0),ROUND(F84*G84,2),""))</x:f>
      </x:c>
      <x:c r="I84" s="17"/>
      <x:c r="J84" s="18" t="str">
        <x:f>IF(B84="","",IF(AND(ISNUMBER(H84),ISNUMBER(I84),I84&gt;=0),I84-H84,"n.a."))</x:f>
      </x:c>
    </x:row>
    <x:row r="85" ht="22" customHeight="1">
      <x:c r="B85" s="12"/>
      <x:c r="C85" s="12"/>
      <x:c r="D85" s="12"/>
      <x:c r="E85" s="12"/>
      <x:c r="F85" s="17"/>
      <x:c r="G85" s="17"/>
      <x:c r="H85" s="18" t="str">
        <x:f>IF(B85="","",IF(AND(ISNUMBER(F85),F85&gt;=0,ISNUMBER(G85),G85&gt;=0),ROUND(F85*G85,2),""))</x:f>
      </x:c>
      <x:c r="I85" s="17"/>
      <x:c r="J85" s="18" t="str">
        <x:f>IF(B85="","",IF(AND(ISNUMBER(H85),ISNUMBER(I85),I85&gt;=0),I85-H85,"n.a."))</x:f>
      </x:c>
    </x:row>
    <x:row r="86" ht="22" customHeight="1">
      <x:c r="B86" s="12"/>
      <x:c r="C86" s="12"/>
      <x:c r="D86" s="12"/>
      <x:c r="E86" s="12"/>
      <x:c r="F86" s="17"/>
      <x:c r="G86" s="17"/>
      <x:c r="H86" s="18" t="str">
        <x:f>IF(B86="","",IF(AND(ISNUMBER(F86),F86&gt;=0,ISNUMBER(G86),G86&gt;=0),ROUND(F86*G86,2),""))</x:f>
      </x:c>
      <x:c r="I86" s="17"/>
      <x:c r="J86" s="18" t="str">
        <x:f>IF(B86="","",IF(AND(ISNUMBER(H86),ISNUMBER(I86),I86&gt;=0),I86-H86,"n.a."))</x:f>
      </x:c>
    </x:row>
    <x:row r="87" ht="22" customHeight="1">
      <x:c r="B87" s="12"/>
      <x:c r="C87" s="12"/>
      <x:c r="D87" s="12"/>
      <x:c r="E87" s="12"/>
      <x:c r="F87" s="17"/>
      <x:c r="G87" s="17"/>
      <x:c r="H87" s="18" t="str">
        <x:f>IF(B87="","",IF(AND(ISNUMBER(F87),F87&gt;=0,ISNUMBER(G87),G87&gt;=0),ROUND(F87*G87,2),""))</x:f>
      </x:c>
      <x:c r="I87" s="17"/>
      <x:c r="J87" s="18" t="str">
        <x:f>IF(B87="","",IF(AND(ISNUMBER(H87),ISNUMBER(I87),I87&gt;=0),I87-H87,"n.a."))</x:f>
      </x:c>
    </x:row>
    <x:row r="88" ht="22" customHeight="1">
      <x:c r="B88" s="12"/>
      <x:c r="C88" s="12"/>
      <x:c r="D88" s="12"/>
      <x:c r="E88" s="12"/>
      <x:c r="F88" s="17"/>
      <x:c r="G88" s="17"/>
      <x:c r="H88" s="18" t="str">
        <x:f>IF(B88="","",IF(AND(ISNUMBER(F88),F88&gt;=0,ISNUMBER(G88),G88&gt;=0),ROUND(F88*G88,2),""))</x:f>
      </x:c>
      <x:c r="I88" s="17"/>
      <x:c r="J88" s="18" t="str">
        <x:f>IF(B88="","",IF(AND(ISNUMBER(H88),ISNUMBER(I88),I88&gt;=0),I88-H88,"n.a."))</x:f>
      </x:c>
    </x:row>
    <x:row r="89" ht="22" customHeight="1">
      <x:c r="B89" s="12"/>
      <x:c r="C89" s="12"/>
      <x:c r="D89" s="12"/>
      <x:c r="E89" s="12"/>
      <x:c r="F89" s="17"/>
      <x:c r="G89" s="17"/>
      <x:c r="H89" s="18" t="str">
        <x:f>IF(B89="","",IF(AND(ISNUMBER(F89),F89&gt;=0,ISNUMBER(G89),G89&gt;=0),ROUND(F89*G89,2),""))</x:f>
      </x:c>
      <x:c r="I89" s="17"/>
      <x:c r="J89" s="18" t="str">
        <x:f>IF(B89="","",IF(AND(ISNUMBER(H89),ISNUMBER(I89),I89&gt;=0),I89-H89,"n.a."))</x:f>
      </x:c>
    </x:row>
    <x:row r="90" ht="22" customHeight="1">
      <x:c r="B90" s="12"/>
      <x:c r="C90" s="12"/>
      <x:c r="D90" s="12"/>
      <x:c r="E90" s="12"/>
      <x:c r="F90" s="17"/>
      <x:c r="G90" s="17"/>
      <x:c r="H90" s="18" t="str">
        <x:f>IF(B90="","",IF(AND(ISNUMBER(F90),F90&gt;=0,ISNUMBER(G90),G90&gt;=0),ROUND(F90*G90,2),""))</x:f>
      </x:c>
      <x:c r="I90" s="17"/>
      <x:c r="J90" s="18" t="str">
        <x:f>IF(B90="","",IF(AND(ISNUMBER(H90),ISNUMBER(I90),I90&gt;=0),I90-H90,"n.a."))</x:f>
      </x:c>
    </x:row>
    <x:row r="91" ht="22" customHeight="1">
      <x:c r="B91" s="12"/>
      <x:c r="C91" s="12"/>
      <x:c r="D91" s="12"/>
      <x:c r="E91" s="12"/>
      <x:c r="F91" s="17"/>
      <x:c r="G91" s="17"/>
      <x:c r="H91" s="18" t="str">
        <x:f>IF(B91="","",IF(AND(ISNUMBER(F91),F91&gt;=0,ISNUMBER(G91),G91&gt;=0),ROUND(F91*G91,2),""))</x:f>
      </x:c>
      <x:c r="I91" s="17"/>
      <x:c r="J91" s="18" t="str">
        <x:f>IF(B91="","",IF(AND(ISNUMBER(H91),ISNUMBER(I91),I91&gt;=0),I91-H91,"n.a."))</x:f>
      </x:c>
    </x:row>
    <x:row r="92" ht="22" customHeight="1">
      <x:c r="B92" s="12"/>
      <x:c r="C92" s="12"/>
      <x:c r="D92" s="12"/>
      <x:c r="E92" s="12"/>
      <x:c r="F92" s="17"/>
      <x:c r="G92" s="17"/>
      <x:c r="H92" s="18" t="str">
        <x:f>IF(B92="","",IF(AND(ISNUMBER(F92),F92&gt;=0,ISNUMBER(G92),G92&gt;=0),ROUND(F92*G92,2),""))</x:f>
      </x:c>
      <x:c r="I92" s="17"/>
      <x:c r="J92" s="18" t="str">
        <x:f>IF(B92="","",IF(AND(ISNUMBER(H92),ISNUMBER(I92),I92&gt;=0),I92-H92,"n.a."))</x:f>
      </x:c>
    </x:row>
    <x:row r="93" ht="22" customHeight="1">
      <x:c r="B93" s="12"/>
      <x:c r="C93" s="12"/>
      <x:c r="D93" s="12"/>
      <x:c r="E93" s="12"/>
      <x:c r="F93" s="17"/>
      <x:c r="G93" s="17"/>
      <x:c r="H93" s="18" t="str">
        <x:f>IF(B93="","",IF(AND(ISNUMBER(F93),F93&gt;=0,ISNUMBER(G93),G93&gt;=0),ROUND(F93*G93,2),""))</x:f>
      </x:c>
      <x:c r="I93" s="17"/>
      <x:c r="J93" s="18" t="str">
        <x:f>IF(B93="","",IF(AND(ISNUMBER(H93),ISNUMBER(I93),I93&gt;=0),I93-H93,"n.a."))</x:f>
      </x:c>
    </x:row>
    <x:row r="94" ht="22" customHeight="1">
      <x:c r="B94" s="12"/>
      <x:c r="C94" s="12"/>
      <x:c r="D94" s="12"/>
      <x:c r="E94" s="12"/>
      <x:c r="F94" s="17"/>
      <x:c r="G94" s="17"/>
      <x:c r="H94" s="18" t="str">
        <x:f>IF(B94="","",IF(AND(ISNUMBER(F94),F94&gt;=0,ISNUMBER(G94),G94&gt;=0),ROUND(F94*G94,2),""))</x:f>
      </x:c>
      <x:c r="I94" s="17"/>
      <x:c r="J94" s="18" t="str">
        <x:f>IF(B94="","",IF(AND(ISNUMBER(H94),ISNUMBER(I94),I94&gt;=0),I94-H94,"n.a."))</x:f>
      </x:c>
    </x:row>
    <x:row r="95" ht="22" customHeight="1">
      <x:c r="B95" s="12"/>
      <x:c r="C95" s="12"/>
      <x:c r="D95" s="12"/>
      <x:c r="E95" s="12"/>
      <x:c r="F95" s="17"/>
      <x:c r="G95" s="17"/>
      <x:c r="H95" s="18" t="str">
        <x:f>IF(B95="","",IF(AND(ISNUMBER(F95),F95&gt;=0,ISNUMBER(G95),G95&gt;=0),ROUND(F95*G95,2),""))</x:f>
      </x:c>
      <x:c r="I95" s="17"/>
      <x:c r="J95" s="18" t="str">
        <x:f>IF(B95="","",IF(AND(ISNUMBER(H95),ISNUMBER(I95),I95&gt;=0),I95-H95,"n.a."))</x:f>
      </x:c>
    </x:row>
    <x:row r="96" ht="22" customHeight="1">
      <x:c r="B96" s="12"/>
      <x:c r="C96" s="12"/>
      <x:c r="D96" s="12"/>
      <x:c r="E96" s="12"/>
      <x:c r="F96" s="17"/>
      <x:c r="G96" s="17"/>
      <x:c r="H96" s="18" t="str">
        <x:f>IF(B96="","",IF(AND(ISNUMBER(F96),F96&gt;=0,ISNUMBER(G96),G96&gt;=0),ROUND(F96*G96,2),""))</x:f>
      </x:c>
      <x:c r="I96" s="17"/>
      <x:c r="J96" s="18" t="str">
        <x:f>IF(B96="","",IF(AND(ISNUMBER(H96),ISNUMBER(I96),I96&gt;=0),I96-H96,"n.a."))</x:f>
      </x:c>
    </x:row>
    <x:row r="97" ht="22" customHeight="1">
      <x:c r="B97" s="12"/>
      <x:c r="C97" s="12"/>
      <x:c r="D97" s="12"/>
      <x:c r="E97" s="12"/>
      <x:c r="F97" s="17"/>
      <x:c r="G97" s="17"/>
      <x:c r="H97" s="18" t="str">
        <x:f>IF(B97="","",IF(AND(ISNUMBER(F97),F97&gt;=0,ISNUMBER(G97),G97&gt;=0),ROUND(F97*G97,2),""))</x:f>
      </x:c>
      <x:c r="I97" s="17"/>
      <x:c r="J97" s="18" t="str">
        <x:f>IF(B97="","",IF(AND(ISNUMBER(H97),ISNUMBER(I97),I97&gt;=0),I97-H97,"n.a."))</x:f>
      </x:c>
    </x:row>
    <x:row r="98" ht="22" customHeight="1">
      <x:c r="B98" s="12"/>
      <x:c r="C98" s="12"/>
      <x:c r="D98" s="12"/>
      <x:c r="E98" s="12"/>
      <x:c r="F98" s="17"/>
      <x:c r="G98" s="17"/>
      <x:c r="H98" s="18" t="str">
        <x:f>IF(B98="","",IF(AND(ISNUMBER(F98),F98&gt;=0,ISNUMBER(G98),G98&gt;=0),ROUND(F98*G98,2),""))</x:f>
      </x:c>
      <x:c r="I98" s="17"/>
      <x:c r="J98" s="18" t="str">
        <x:f>IF(B98="","",IF(AND(ISNUMBER(H98),ISNUMBER(I98),I98&gt;=0),I98-H98,"n.a."))</x:f>
      </x:c>
    </x:row>
    <x:row r="99" ht="22" customHeight="1">
      <x:c r="B99" s="12"/>
      <x:c r="C99" s="12"/>
      <x:c r="D99" s="12"/>
      <x:c r="E99" s="12"/>
      <x:c r="F99" s="17"/>
      <x:c r="G99" s="17"/>
      <x:c r="H99" s="18" t="str">
        <x:f>IF(B99="","",IF(AND(ISNUMBER(F99),F99&gt;=0,ISNUMBER(G99),G99&gt;=0),ROUND(F99*G99,2),""))</x:f>
      </x:c>
      <x:c r="I99" s="17"/>
      <x:c r="J99" s="18" t="str">
        <x:f>IF(B99="","",IF(AND(ISNUMBER(H99),ISNUMBER(I99),I99&gt;=0),I99-H99,"n.a."))</x:f>
      </x:c>
    </x:row>
    <x:row r="100" ht="22" customHeight="1">
      <x:c r="B100" s="12"/>
      <x:c r="C100" s="12"/>
      <x:c r="D100" s="12"/>
      <x:c r="E100" s="12"/>
      <x:c r="F100" s="17"/>
      <x:c r="G100" s="17"/>
      <x:c r="H100" s="18" t="str">
        <x:f>IF(B100="","",IF(AND(ISNUMBER(F100),F100&gt;=0,ISNUMBER(G100),G100&gt;=0),ROUND(F100*G100,2),""))</x:f>
      </x:c>
      <x:c r="I100" s="17"/>
      <x:c r="J100" s="18" t="str">
        <x:f>IF(B100="","",IF(AND(ISNUMBER(H100),ISNUMBER(I100),I100&gt;=0),I100-H100,"n.a."))</x:f>
      </x:c>
    </x:row>
    <x:row r="101" ht="22" customHeight="1">
      <x:c r="B101" s="12"/>
      <x:c r="C101" s="12"/>
      <x:c r="D101" s="12"/>
      <x:c r="E101" s="12"/>
      <x:c r="F101" s="17"/>
      <x:c r="G101" s="17"/>
      <x:c r="H101" s="18" t="str">
        <x:f>IF(B101="","",IF(AND(ISNUMBER(F101),F101&gt;=0,ISNUMBER(G101),G101&gt;=0),ROUND(F101*G101,2),""))</x:f>
      </x:c>
      <x:c r="I101" s="17"/>
      <x:c r="J101" s="18" t="str">
        <x:f>IF(B101="","",IF(AND(ISNUMBER(H101),ISNUMBER(I101),I101&gt;=0),I101-H101,"n.a."))</x:f>
      </x:c>
    </x:row>
    <x:row r="102" ht="22" customHeight="1">
      <x:c r="B102" s="12"/>
      <x:c r="C102" s="12"/>
      <x:c r="D102" s="12"/>
      <x:c r="E102" s="12"/>
      <x:c r="F102" s="17"/>
      <x:c r="G102" s="17"/>
      <x:c r="H102" s="18" t="str">
        <x:f>IF(B102="","",IF(AND(ISNUMBER(F102),F102&gt;=0,ISNUMBER(G102),G102&gt;=0),ROUND(F102*G102,2),""))</x:f>
      </x:c>
      <x:c r="I102" s="17"/>
      <x:c r="J102" s="18" t="str">
        <x:f>IF(B102="","",IF(AND(ISNUMBER(H102),ISNUMBER(I102),I102&gt;=0),I102-H102,"n.a."))</x:f>
      </x:c>
    </x:row>
    <x:row r="103" ht="22" customHeight="1">
      <x:c r="B103" s="12"/>
      <x:c r="C103" s="12"/>
      <x:c r="D103" s="12"/>
      <x:c r="E103" s="12"/>
      <x:c r="F103" s="17"/>
      <x:c r="G103" s="17"/>
      <x:c r="H103" s="18" t="str">
        <x:f>IF(B103="","",IF(AND(ISNUMBER(F103),F103&gt;=0,ISNUMBER(G103),G103&gt;=0),ROUND(F103*G103,2),""))</x:f>
      </x:c>
      <x:c r="I103" s="17"/>
      <x:c r="J103" s="18" t="str">
        <x:f>IF(B103="","",IF(AND(ISNUMBER(H103),ISNUMBER(I103),I103&gt;=0),I103-H103,"n.a."))</x:f>
      </x:c>
    </x:row>
    <x:row r="104" ht="22" customHeight="1">
      <x:c r="B104" s="12"/>
      <x:c r="C104" s="12"/>
      <x:c r="D104" s="12"/>
      <x:c r="E104" s="12"/>
      <x:c r="F104" s="17"/>
      <x:c r="G104" s="17"/>
      <x:c r="H104" s="18" t="str">
        <x:f>IF(B104="","",IF(AND(ISNUMBER(F104),F104&gt;=0,ISNUMBER(G104),G104&gt;=0),ROUND(F104*G104,2),""))</x:f>
      </x:c>
      <x:c r="I104" s="17"/>
      <x:c r="J104" s="18" t="str">
        <x:f>IF(B104="","",IF(AND(ISNUMBER(H104),ISNUMBER(I104),I104&gt;=0),I104-H104,"n.a."))</x:f>
      </x:c>
    </x:row>
    <x:row r="105" ht="22" customHeight="1">
      <x:c r="B105" s="12"/>
      <x:c r="C105" s="12"/>
      <x:c r="D105" s="12"/>
      <x:c r="E105" s="12"/>
      <x:c r="F105" s="17"/>
      <x:c r="G105" s="17"/>
      <x:c r="H105" s="18" t="str">
        <x:f>IF(B105="","",IF(AND(ISNUMBER(F105),F105&gt;=0,ISNUMBER(G105),G105&gt;=0),ROUND(F105*G105,2),""))</x:f>
      </x:c>
      <x:c r="I105" s="17"/>
      <x:c r="J105" s="18" t="str">
        <x:f>IF(B105="","",IF(AND(ISNUMBER(H105),ISNUMBER(I105),I105&gt;=0),I105-H105,"n.a."))</x:f>
      </x:c>
    </x:row>
    <x:row r="106" ht="22" customHeight="1">
      <x:c r="B106" s="12"/>
      <x:c r="C106" s="12"/>
      <x:c r="D106" s="12"/>
      <x:c r="E106" s="12"/>
      <x:c r="F106" s="17"/>
      <x:c r="G106" s="17"/>
      <x:c r="H106" s="18" t="str">
        <x:f>IF(B106="","",IF(AND(ISNUMBER(F106),F106&gt;=0,ISNUMBER(G106),G106&gt;=0),ROUND(F106*G106,2),""))</x:f>
      </x:c>
      <x:c r="I106" s="17"/>
      <x:c r="J106" s="18" t="str">
        <x:f>IF(B106="","",IF(AND(ISNUMBER(H106),ISNUMBER(I106),I106&gt;=0),I106-H106,"n.a."))</x:f>
      </x:c>
    </x:row>
    <x:row r="107" ht="22" customHeight="1">
      <x:c r="B107" s="12"/>
      <x:c r="C107" s="12"/>
      <x:c r="D107" s="12"/>
      <x:c r="E107" s="12"/>
      <x:c r="F107" s="17"/>
      <x:c r="G107" s="17"/>
      <x:c r="H107" s="18" t="str">
        <x:f>IF(B107="","",IF(AND(ISNUMBER(F107),F107&gt;=0,ISNUMBER(G107),G107&gt;=0),ROUND(F107*G107,2),""))</x:f>
      </x:c>
      <x:c r="I107" s="17"/>
      <x:c r="J107" s="18" t="str">
        <x:f>IF(B107="","",IF(AND(ISNUMBER(H107),ISNUMBER(I107),I107&gt;=0),I107-H107,"n.a."))</x:f>
      </x:c>
    </x:row>
    <x:row r="108" ht="22" customHeight="1">
      <x:c r="B108" s="12"/>
      <x:c r="C108" s="12"/>
      <x:c r="D108" s="12"/>
      <x:c r="E108" s="12"/>
      <x:c r="F108" s="17"/>
      <x:c r="G108" s="17"/>
      <x:c r="H108" s="18" t="str">
        <x:f>IF(B108="","",IF(AND(ISNUMBER(F108),F108&gt;=0,ISNUMBER(G108),G108&gt;=0),ROUND(F108*G108,2),""))</x:f>
      </x:c>
      <x:c r="I108" s="17"/>
      <x:c r="J108" s="18" t="str">
        <x:f>IF(B108="","",IF(AND(ISNUMBER(H108),ISNUMBER(I108),I108&gt;=0),I108-H108,"n.a."))</x:f>
      </x:c>
    </x:row>
    <x:row r="109" ht="22" customHeight="1">
      <x:c r="B109" s="12"/>
      <x:c r="C109" s="12"/>
      <x:c r="D109" s="12"/>
      <x:c r="E109" s="12"/>
      <x:c r="F109" s="17"/>
      <x:c r="G109" s="17"/>
      <x:c r="H109" s="18" t="str">
        <x:f>IF(B109="","",IF(AND(ISNUMBER(F109),F109&gt;=0,ISNUMBER(G109),G109&gt;=0),ROUND(F109*G109,2),""))</x:f>
      </x:c>
      <x:c r="I109" s="17"/>
      <x:c r="J109" s="18" t="str">
        <x:f>IF(B109="","",IF(AND(ISNUMBER(H109),ISNUMBER(I109),I109&gt;=0),I109-H109,"n.a."))</x:f>
      </x:c>
    </x:row>
    <x:row r="110" ht="22" customHeight="1">
      <x:c r="B110" s="12"/>
      <x:c r="C110" s="12"/>
      <x:c r="D110" s="12"/>
      <x:c r="E110" s="12"/>
      <x:c r="F110" s="17"/>
      <x:c r="G110" s="17"/>
      <x:c r="H110" s="18" t="str">
        <x:f>IF(B110="","",IF(AND(ISNUMBER(F110),F110&gt;=0,ISNUMBER(G110),G110&gt;=0),ROUND(F110*G110,2),""))</x:f>
      </x:c>
      <x:c r="I110" s="17"/>
      <x:c r="J110" s="18" t="str">
        <x:f>IF(B110="","",IF(AND(ISNUMBER(H110),ISNUMBER(I110),I110&gt;=0),I110-H110,"n.a."))</x:f>
      </x:c>
    </x:row>
  </x:sheetData>
  <x:conditionalFormatting sqref="J11:J110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